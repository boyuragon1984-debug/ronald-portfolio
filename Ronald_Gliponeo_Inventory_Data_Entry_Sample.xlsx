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racker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'Inventory Tracker'!$A$7:$H$17</definedName>
    <definedName name="_xlnm.Print_Titles" localSheetId="0">'Inventory Tracker'!$1:$7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₱#,##0.00"/>
    <numFmt numFmtId="166" formatCode="mmm d, yyyy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66666"/>
      <sz val="10"/>
    </font>
    <font>
      <b val="1"/>
      <color rgb="00FFFFFF"/>
      <sz val="10"/>
    </font>
    <font>
      <b val="1"/>
      <color rgb="0017365D"/>
      <sz val="12"/>
    </font>
    <font>
      <b val="1"/>
      <color rgb="00FFFFFF"/>
    </font>
    <font>
      <b val="1"/>
      <color rgb="00FFFFFF"/>
      <sz val="16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CE4D6"/>
        </patternFill>
      </fill>
    </dxf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D8" authorId="0" shapeId="0">
      <text>
        <t>Automatic status: quantities of 5 or fewer are marked Low Stock.</t>
      </text>
    </comment>
    <comment ref="G8" authorId="0" shapeId="0">
      <text>
        <t>Inventory Value is calculated as Quantity × Unit Price.</t>
      </text>
    </comment>
  </commentList>
</comments>
</file>

<file path=xl/tables/table1.xml><?xml version="1.0" encoding="utf-8"?>
<table xmlns="http://schemas.openxmlformats.org/spreadsheetml/2006/main" id="1" name="InventoryData" displayName="InventoryData" ref="A7:H17" headerRowCount="1">
  <autoFilter ref="A7:H17"/>
  <tableColumns count="8">
    <tableColumn id="1" name="Item ID"/>
    <tableColumn id="2" name="Item Name"/>
    <tableColumn id="3" name="Quantity"/>
    <tableColumn id="4" name="Stock Status"/>
    <tableColumn id="5" name="Unit Price (₱)"/>
    <tableColumn id="6" name="Category"/>
    <tableColumn id="7" name="Inventory Value (₱)"/>
    <tableColumn id="8" name="Last 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6" customWidth="1" min="4" max="4"/>
    <col width="18" customWidth="1" min="5" max="5"/>
    <col width="20" customWidth="1" min="6" max="6"/>
    <col width="23" customWidth="1" min="7" max="7"/>
    <col width="17" customWidth="1" min="8" max="8"/>
  </cols>
  <sheetData>
    <row r="1" ht="32" customHeight="1">
      <c r="A1" s="1" t="inlineStr">
        <is>
          <t>INVENTORY TRACKER — SAMPLE PROJECT</t>
        </is>
      </c>
    </row>
    <row r="2" ht="22" customHeight="1">
      <c r="A2" s="2" t="inlineStr">
        <is>
          <t>Portfolio practice sample by Ronald Gliponeo | Fictional small-business data</t>
        </is>
      </c>
    </row>
    <row r="4" ht="24" customHeight="1">
      <c r="A4" s="3" t="inlineStr">
        <is>
          <t>Total Products</t>
        </is>
      </c>
      <c r="B4" s="4">
        <f>COUNTA(A8:A17)</f>
        <v/>
      </c>
      <c r="C4" s="3" t="inlineStr">
        <is>
          <t>Total Units</t>
        </is>
      </c>
      <c r="D4" s="4">
        <f>SUM(C8:C17)</f>
        <v/>
      </c>
      <c r="E4" s="3" t="inlineStr">
        <is>
          <t>Inventory Value</t>
        </is>
      </c>
      <c r="F4" s="4">
        <f>SUM(G8:G17)</f>
        <v/>
      </c>
      <c r="G4" s="3" t="inlineStr">
        <is>
          <t>Low Stock Items</t>
        </is>
      </c>
      <c r="H4" s="4">
        <f>COUNTIF(D8:D17,"Low Stock")</f>
        <v/>
      </c>
    </row>
    <row r="5" ht="24" customHeight="1"/>
    <row r="7">
      <c r="A7" s="5" t="inlineStr">
        <is>
          <t>Item ID</t>
        </is>
      </c>
      <c r="B7" s="5" t="inlineStr">
        <is>
          <t>Item Name</t>
        </is>
      </c>
      <c r="C7" s="5" t="inlineStr">
        <is>
          <t>Quantity</t>
        </is>
      </c>
      <c r="D7" s="5" t="inlineStr">
        <is>
          <t>Stock Status</t>
        </is>
      </c>
      <c r="E7" s="5" t="inlineStr">
        <is>
          <t>Unit Price (₱)</t>
        </is>
      </c>
      <c r="F7" s="5" t="inlineStr">
        <is>
          <t>Category</t>
        </is>
      </c>
      <c r="G7" s="5" t="inlineStr">
        <is>
          <t>Inventory Value (₱)</t>
        </is>
      </c>
      <c r="H7" s="5" t="inlineStr">
        <is>
          <t>Last Updated</t>
        </is>
      </c>
    </row>
    <row r="8" ht="22" customHeight="1">
      <c r="A8" s="6" t="inlineStr">
        <is>
          <t>ITM-001</t>
        </is>
      </c>
      <c r="B8" s="6" t="inlineStr">
        <is>
          <t>Ballpoint Pens</t>
        </is>
      </c>
      <c r="C8" s="6" t="n">
        <v>45</v>
      </c>
      <c r="D8" s="6">
        <f>IF(C8&lt;=5,"Low Stock","In Stock")</f>
        <v/>
      </c>
      <c r="E8" s="7" t="n">
        <v>12.5</v>
      </c>
      <c r="F8" s="6" t="inlineStr">
        <is>
          <t>Office Supplies</t>
        </is>
      </c>
      <c r="G8" s="7">
        <f>C8*E8</f>
        <v/>
      </c>
      <c r="H8" s="8" t="n">
        <v>46302</v>
      </c>
    </row>
    <row r="9" ht="22" customHeight="1">
      <c r="A9" s="9" t="inlineStr">
        <is>
          <t>ITM-002</t>
        </is>
      </c>
      <c r="B9" s="9" t="inlineStr">
        <is>
          <t>A4 Bond Paper (ream)</t>
        </is>
      </c>
      <c r="C9" s="9" t="n">
        <v>8</v>
      </c>
      <c r="D9" s="9">
        <f>IF(C9&lt;=5,"Low Stock","In Stock")</f>
        <v/>
      </c>
      <c r="E9" s="10" t="n">
        <v>245</v>
      </c>
      <c r="F9" s="9" t="inlineStr">
        <is>
          <t>Office Supplies</t>
        </is>
      </c>
      <c r="G9" s="10">
        <f>C9*E9</f>
        <v/>
      </c>
      <c r="H9" s="11" t="n">
        <v>46302</v>
      </c>
    </row>
    <row r="10" ht="22" customHeight="1">
      <c r="A10" s="6" t="inlineStr">
        <is>
          <t>ITM-003</t>
        </is>
      </c>
      <c r="B10" s="6" t="inlineStr">
        <is>
          <t>Notebook</t>
        </is>
      </c>
      <c r="C10" s="6" t="n">
        <v>22</v>
      </c>
      <c r="D10" s="6">
        <f>IF(C10&lt;=5,"Low Stock","In Stock")</f>
        <v/>
      </c>
      <c r="E10" s="7" t="n">
        <v>38</v>
      </c>
      <c r="F10" s="6" t="inlineStr">
        <is>
          <t>School Supplies</t>
        </is>
      </c>
      <c r="G10" s="7">
        <f>C10*E10</f>
        <v/>
      </c>
      <c r="H10" s="8" t="n">
        <v>46301</v>
      </c>
    </row>
    <row r="11" ht="22" customHeight="1">
      <c r="A11" s="9" t="inlineStr">
        <is>
          <t>ITM-004</t>
        </is>
      </c>
      <c r="B11" s="9" t="inlineStr">
        <is>
          <t>Stapler</t>
        </is>
      </c>
      <c r="C11" s="9" t="n">
        <v>4</v>
      </c>
      <c r="D11" s="9">
        <f>IF(C11&lt;=5,"Low Stock","In Stock")</f>
        <v/>
      </c>
      <c r="E11" s="10" t="n">
        <v>95</v>
      </c>
      <c r="F11" s="9" t="inlineStr">
        <is>
          <t>Office Supplies</t>
        </is>
      </c>
      <c r="G11" s="10">
        <f>C11*E11</f>
        <v/>
      </c>
      <c r="H11" s="11" t="n">
        <v>46300</v>
      </c>
    </row>
    <row r="12" ht="22" customHeight="1">
      <c r="A12" s="6" t="inlineStr">
        <is>
          <t>ITM-005</t>
        </is>
      </c>
      <c r="B12" s="6" t="inlineStr">
        <is>
          <t>USB Flash Drive</t>
        </is>
      </c>
      <c r="C12" s="6" t="n">
        <v>6</v>
      </c>
      <c r="D12" s="6">
        <f>IF(C12&lt;=5,"Low Stock","In Stock")</f>
        <v/>
      </c>
      <c r="E12" s="7" t="n">
        <v>180</v>
      </c>
      <c r="F12" s="6" t="inlineStr">
        <is>
          <t>Electronics</t>
        </is>
      </c>
      <c r="G12" s="7">
        <f>C12*E12</f>
        <v/>
      </c>
      <c r="H12" s="8" t="n">
        <v>46302</v>
      </c>
    </row>
    <row r="13" ht="22" customHeight="1">
      <c r="A13" s="9" t="inlineStr">
        <is>
          <t>ITM-006</t>
        </is>
      </c>
      <c r="B13" s="9" t="inlineStr">
        <is>
          <t>Packaging Tape</t>
        </is>
      </c>
      <c r="C13" s="9" t="n">
        <v>3</v>
      </c>
      <c r="D13" s="9">
        <f>IF(C13&lt;=5,"Low Stock","In Stock")</f>
        <v/>
      </c>
      <c r="E13" s="10" t="n">
        <v>32</v>
      </c>
      <c r="F13" s="9" t="inlineStr">
        <is>
          <t>Packaging</t>
        </is>
      </c>
      <c r="G13" s="10">
        <f>C13*E13</f>
        <v/>
      </c>
      <c r="H13" s="11" t="n">
        <v>46299</v>
      </c>
    </row>
    <row r="14" ht="22" customHeight="1">
      <c r="A14" s="6" t="inlineStr">
        <is>
          <t>ITM-007</t>
        </is>
      </c>
      <c r="B14" s="6" t="inlineStr">
        <is>
          <t>Marker Set</t>
        </is>
      </c>
      <c r="C14" s="6" t="n">
        <v>15</v>
      </c>
      <c r="D14" s="6">
        <f>IF(C14&lt;=5,"Low Stock","In Stock")</f>
        <v/>
      </c>
      <c r="E14" s="7" t="n">
        <v>75</v>
      </c>
      <c r="F14" s="6" t="inlineStr">
        <is>
          <t>School Supplies</t>
        </is>
      </c>
      <c r="G14" s="7">
        <f>C14*E14</f>
        <v/>
      </c>
      <c r="H14" s="8" t="n">
        <v>46301</v>
      </c>
    </row>
    <row r="15" ht="22" customHeight="1">
      <c r="A15" s="9" t="inlineStr">
        <is>
          <t>ITM-008</t>
        </is>
      </c>
      <c r="B15" s="9" t="inlineStr">
        <is>
          <t>Mouse Pad</t>
        </is>
      </c>
      <c r="C15" s="9" t="n">
        <v>2</v>
      </c>
      <c r="D15" s="9">
        <f>IF(C15&lt;=5,"Low Stock","In Stock")</f>
        <v/>
      </c>
      <c r="E15" s="10" t="n">
        <v>110</v>
      </c>
      <c r="F15" s="9" t="inlineStr">
        <is>
          <t>Accessories</t>
        </is>
      </c>
      <c r="G15" s="10">
        <f>C15*E15</f>
        <v/>
      </c>
      <c r="H15" s="11" t="n">
        <v>46298</v>
      </c>
    </row>
    <row r="16" ht="22" customHeight="1">
      <c r="A16" s="6" t="inlineStr">
        <is>
          <t>ITM-009</t>
        </is>
      </c>
      <c r="B16" s="6" t="inlineStr">
        <is>
          <t>Desk Organizer</t>
        </is>
      </c>
      <c r="C16" s="6" t="n">
        <v>11</v>
      </c>
      <c r="D16" s="6">
        <f>IF(C16&lt;=5,"Low Stock","In Stock")</f>
        <v/>
      </c>
      <c r="E16" s="7" t="n">
        <v>135</v>
      </c>
      <c r="F16" s="6" t="inlineStr">
        <is>
          <t>Accessories</t>
        </is>
      </c>
      <c r="G16" s="7">
        <f>C16*E16</f>
        <v/>
      </c>
      <c r="H16" s="8" t="n">
        <v>46302</v>
      </c>
    </row>
    <row r="17" ht="22" customHeight="1">
      <c r="A17" s="9" t="inlineStr">
        <is>
          <t>ITM-010</t>
        </is>
      </c>
      <c r="B17" s="9" t="inlineStr">
        <is>
          <t>Shipping Labels</t>
        </is>
      </c>
      <c r="C17" s="9" t="n">
        <v>5</v>
      </c>
      <c r="D17" s="9">
        <f>IF(C17&lt;=5,"Low Stock","In Stock")</f>
        <v/>
      </c>
      <c r="E17" s="10" t="n">
        <v>68</v>
      </c>
      <c r="F17" s="9" t="inlineStr">
        <is>
          <t>Packaging</t>
        </is>
      </c>
      <c r="G17" s="10">
        <f>C17*E17</f>
        <v/>
      </c>
      <c r="H17" s="11" t="n">
        <v>46300</v>
      </c>
    </row>
  </sheetData>
  <autoFilter ref="A7:H17"/>
  <mergeCells count="10">
    <mergeCell ref="B4:B5"/>
    <mergeCell ref="C4:C5"/>
    <mergeCell ref="A4:A5"/>
    <mergeCell ref="F4:F5"/>
    <mergeCell ref="A2:H2"/>
    <mergeCell ref="D4:D5"/>
    <mergeCell ref="E4:E5"/>
    <mergeCell ref="G4:G5"/>
    <mergeCell ref="H4:H5"/>
    <mergeCell ref="A1:H1"/>
  </mergeCells>
  <conditionalFormatting sqref="D8:D17">
    <cfRule type="cellIs" priority="1" operator="equal" dxfId="0">
      <formula>"Low Stock"</formula>
    </cfRule>
    <cfRule type="cellIs" priority="2" operator="equal" dxfId="1">
      <formula>"In Stock"</formula>
    </cfRule>
  </conditionalFormatting>
  <dataValidations count="1">
    <dataValidation sqref="F8:F100" showDropDown="0" showInputMessage="0" showErrorMessage="0" allowBlank="1" errorTitle="Invalid Category" error="Choose a category from the dropdown list." promptTitle="Category" prompt="Select a category." type="list">
      <formula1>"Office Supplies,School Supplies,Electronics,Packaging,Accessories"</formula1>
    </dataValidation>
  </dataValidations>
  <pageMargins left="0.75" right="0.75" top="1" bottom="1" header="0.5" footer="0.5"/>
  <pageSetup orientation="landscape" paperSize="9" fitToHeight="1" fitToWidth="1"/>
  <headerFooter>
    <oddHeader/>
    <oddFooter>&amp;CRonald Gliponeo | Portfolio Practice Sample&amp;RPage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2" t="inlineStr">
        <is>
          <t>PROJECT NOTES</t>
        </is>
      </c>
    </row>
    <row r="3" ht="28" customHeight="1">
      <c r="A3" s="13" t="inlineStr">
        <is>
          <t>Project</t>
        </is>
      </c>
      <c r="B3" s="14" t="inlineStr">
        <is>
          <t>Inventory Tracker — Sample Project</t>
        </is>
      </c>
    </row>
    <row r="4" ht="28" customHeight="1">
      <c r="A4" s="13" t="inlineStr">
        <is>
          <t>Prepared by</t>
        </is>
      </c>
      <c r="B4" s="14" t="inlineStr">
        <is>
          <t>Ronald Gliponeo</t>
        </is>
      </c>
    </row>
    <row r="5" ht="38" customHeight="1">
      <c r="A5" s="13" t="inlineStr">
        <is>
          <t>Purpose</t>
        </is>
      </c>
      <c r="B5" s="14" t="inlineStr">
        <is>
          <t>Demonstrates basic data entry, table formatting, formulas, low-stock tracking, and data validation.</t>
        </is>
      </c>
    </row>
    <row r="6" ht="38" customHeight="1">
      <c r="A6" s="13" t="inlineStr">
        <is>
          <t>Data note</t>
        </is>
      </c>
      <c r="B6" s="14" t="inlineStr">
        <is>
          <t>All business names/items and quantities are fictional and used for portfolio demonstration only.</t>
        </is>
      </c>
    </row>
    <row r="7" ht="28" customHeight="1">
      <c r="A7" s="13" t="inlineStr">
        <is>
          <t>Formula 1</t>
        </is>
      </c>
      <c r="B7" s="14" t="inlineStr">
        <is>
          <t>Stock Status: marks items with quantity of 5 or fewer as Low Stock.</t>
        </is>
      </c>
    </row>
    <row r="8" ht="28" customHeight="1">
      <c r="A8" s="13" t="inlineStr">
        <is>
          <t>Formula 2</t>
        </is>
      </c>
      <c r="B8" s="14" t="inlineStr">
        <is>
          <t>Inventory Value: Quantity multiplied by Unit Price.</t>
        </is>
      </c>
    </row>
    <row r="9" ht="38" customHeight="1">
      <c r="A9" s="13" t="inlineStr">
        <is>
          <t>Summary</t>
        </is>
      </c>
      <c r="B9" s="14" t="inlineStr">
        <is>
          <t>Top summary cells calculate product count, total units, inventory value, and low-stock item count.</t>
        </is>
      </c>
    </row>
    <row r="10" ht="38" customHeight="1">
      <c r="A10" s="13" t="inlineStr">
        <is>
          <t>How to use</t>
        </is>
      </c>
      <c r="B10" s="14" t="inlineStr">
        <is>
          <t>Edit item names, quantities, prices, categories, and dates. Formula-driven cells update in Excel or compatible spreadsheet apps.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2026-10-09T02:41:19Z</dcterms:created>
  <dcterms:modified xmlns:dcterms="http://purl.org/dc/terms/" xmlns:xsi="http://www.w3.org/2001/XMLSchema-instance" xsi:type="dcterms:W3CDTF">2026-10-09T02:41:19Z</dcterms:modified>
</cp:coreProperties>
</file>